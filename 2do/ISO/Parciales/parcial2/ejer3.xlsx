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<sst xmlns="http://schemas.openxmlformats.org/spreadsheetml/2006/main" count="20" uniqueCount="15">
  <si>
    <t xml:space="preserve">4 platos</t>
  </si>
  <si>
    <t xml:space="preserve">2 caras</t>
  </si>
  <si>
    <t xml:space="preserve">2500 pistas</t>
  </si>
  <si>
    <t xml:space="preserve">63 sectores de 4096 bytes</t>
  </si>
  <si>
    <t xml:space="preserve">7200 RPM</t>
  </si>
  <si>
    <t xml:space="preserve">Seek 10,5</t>
  </si>
  <si>
    <t xml:space="preserve">146 MB/seg</t>
  </si>
  <si>
    <t xml:space="preserve">a)</t>
  </si>
  <si>
    <t xml:space="preserve">bytes</t>
  </si>
  <si>
    <t xml:space="preserve">b)</t>
  </si>
  <si>
    <t xml:space="preserve">latencia=</t>
  </si>
  <si>
    <t xml:space="preserve">ms</t>
  </si>
  <si>
    <t xml:space="preserve">transferencia sector</t>
  </si>
  <si>
    <t xml:space="preserve">total</t>
  </si>
  <si>
    <t xml:space="preserve">c)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</si>
</sst>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7.34"/>
    <col collapsed="false" customWidth="true" hidden="false" outlineLevel="0" max="2" min="2" style="0" width="18.33"/>
    <col collapsed="false" customWidth="true" hidden="false" outlineLevel="0" max="4" min="4" style="0" width="24.1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2.8" hidden="false" customHeight="false" outlineLevel="0" collapsed="false">
      <c r="A4" s="1" t="s">
        <v>7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12.8" hidden="false" customHeight="false" outlineLevel="0" collapsed="false">
      <c r="A5" s="1" t="n">
        <f aca="false">(4*2*2500*63*4096)</f>
        <v>5160960000</v>
      </c>
      <c r="B5" s="1" t="s">
        <v>8</v>
      </c>
      <c r="C5" s="1"/>
      <c r="D5" s="1"/>
      <c r="E5" s="1"/>
      <c r="F5" s="1"/>
      <c r="G5" s="1"/>
      <c r="H5" s="1"/>
      <c r="I5" s="1"/>
      <c r="J5" s="1"/>
      <c r="K5" s="1"/>
    </row>
    <row r="6" customFormat="false" ht="12.8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12.8" hidden="false" customHeight="false" outlineLevel="0" collapsed="false">
      <c r="A7" s="1" t="s">
        <v>9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12.8" hidden="false" customHeight="false" outlineLevel="0" collapsed="false">
      <c r="A8" s="1" t="s">
        <v>10</v>
      </c>
      <c r="B8" s="1" t="n">
        <f aca="false">(60000/14400)</f>
        <v>4.16666666666667</v>
      </c>
      <c r="C8" s="1" t="s">
        <v>11</v>
      </c>
      <c r="D8" s="1"/>
      <c r="E8" s="1"/>
      <c r="F8" s="1"/>
      <c r="G8" s="1"/>
      <c r="H8" s="1"/>
      <c r="I8" s="1"/>
      <c r="J8" s="1"/>
      <c r="K8" s="1"/>
    </row>
    <row r="9" customFormat="false" ht="12.8" hidden="false" customHeight="false" outlineLevel="0" collapsed="false">
      <c r="A9" s="1" t="s">
        <v>12</v>
      </c>
      <c r="B9" s="1" t="n">
        <f aca="false">146*1024*1024</f>
        <v>153092096</v>
      </c>
      <c r="C9" s="1" t="s">
        <v>8</v>
      </c>
      <c r="D9" s="1"/>
      <c r="E9" s="1"/>
      <c r="F9" s="1"/>
      <c r="G9" s="1"/>
      <c r="H9" s="1"/>
      <c r="I9" s="1"/>
      <c r="J9" s="1"/>
      <c r="K9" s="1"/>
    </row>
    <row r="10" customFormat="false" ht="12.8" hidden="false" customHeight="false" outlineLevel="0" collapsed="false">
      <c r="A10" s="1"/>
      <c r="B10" s="1" t="n">
        <f aca="false">4096/B9</f>
        <v>2.67551369863014E-005</v>
      </c>
      <c r="C10" s="1" t="s">
        <v>11</v>
      </c>
      <c r="D10" s="1"/>
      <c r="E10" s="1"/>
      <c r="F10" s="1"/>
      <c r="G10" s="1"/>
      <c r="H10" s="1"/>
      <c r="I10" s="1"/>
      <c r="J10" s="1"/>
      <c r="K10" s="1"/>
    </row>
    <row r="11" customFormat="false" ht="12.8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customFormat="false" ht="12.8" hidden="false" customHeight="false" outlineLevel="0" collapsed="false">
      <c r="A12" s="1" t="s">
        <v>13</v>
      </c>
      <c r="B12" s="1" t="n">
        <f aca="false">10.5+4.2+(0.026*8600)</f>
        <v>238.3</v>
      </c>
      <c r="C12" s="1" t="s">
        <v>11</v>
      </c>
      <c r="D12" s="1"/>
      <c r="E12" s="1"/>
      <c r="F12" s="1"/>
      <c r="G12" s="1"/>
      <c r="H12" s="1"/>
      <c r="I12" s="1"/>
      <c r="J12" s="1"/>
      <c r="K12" s="1"/>
    </row>
    <row r="13" customFormat="false" ht="12.8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customFormat="false" ht="12.8" hidden="false" customHeight="false" outlineLevel="0" collapsed="false">
      <c r="A14" s="1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customFormat="false" ht="12.8" hidden="false" customHeight="false" outlineLevel="0" collapsed="false">
      <c r="A15" s="1" t="s">
        <v>13</v>
      </c>
      <c r="B15" s="1" t="n">
        <f aca="false">(4.2+10.5+B10)*8600</f>
        <v>126420.230094178</v>
      </c>
      <c r="C15" s="1" t="s">
        <v>11</v>
      </c>
      <c r="D15" s="1"/>
      <c r="E15" s="1"/>
      <c r="F15" s="1"/>
      <c r="G15" s="1"/>
      <c r="H15" s="1"/>
      <c r="I15" s="1"/>
      <c r="J15" s="1"/>
      <c r="K15" s="1"/>
    </row>
    <row r="16" customFormat="false" ht="12.8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customFormat="false" ht="12.8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customFormat="false" ht="12.8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customFormat="false" ht="12.8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customFormat="false" ht="12.8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2026-02-17T13:37:33Z</dcterms:created>
  <dc:creator/>
  <dc:description/>
  <dc:language>es-AR</dc:language>
  <cp:lastModifiedBy/>
  <dcterms:modified xsi:type="dcterms:W3CDTF">2026-02-17T14:16:36Z</dcterms:modified>
  <cp:revision>2</cp:revision>
  <dc:subject/>
  <dc:title/>
</cp:coreProperties>
</file>